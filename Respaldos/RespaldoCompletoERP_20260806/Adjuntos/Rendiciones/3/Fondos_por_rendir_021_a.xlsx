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cstehr/Library/CloudStorage/Dropbox/e-auto/Sociedad/Contador/Fondos por Rendir/"/>
    </mc:Choice>
  </mc:AlternateContent>
  <xr:revisionPtr revIDLastSave="0" documentId="8_{86F3300D-345F-6B46-937C-D27431EE3BEE}" xr6:coauthVersionLast="47" xr6:coauthVersionMax="47" xr10:uidLastSave="{00000000-0000-0000-0000-000000000000}"/>
  <bookViews>
    <workbookView xWindow="0" yWindow="580" windowWidth="28800" windowHeight="17180" activeTab="2" xr2:uid="{914AE475-74F2-5145-8C55-243865FA29F5}"/>
  </bookViews>
  <sheets>
    <sheet name="Rendicion WIX 1" sheetId="1" r:id="rId1"/>
    <sheet name="Rendicion WIX 2" sheetId="2" r:id="rId2"/>
    <sheet name="Rendicion WIX 3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26" i="3" l="1"/>
  <c r="J21" i="3"/>
  <c r="J23" i="3"/>
  <c r="J20" i="3"/>
  <c r="J3" i="3"/>
  <c r="J4" i="3"/>
  <c r="J5" i="3"/>
  <c r="J6" i="3"/>
  <c r="J7" i="3"/>
  <c r="J8" i="3"/>
  <c r="J9" i="3"/>
  <c r="J10" i="3"/>
  <c r="J11" i="3"/>
  <c r="J12" i="3"/>
  <c r="J13" i="3"/>
  <c r="J14" i="3"/>
  <c r="J15" i="3"/>
  <c r="J16" i="3"/>
  <c r="J17" i="3"/>
  <c r="J18" i="3"/>
  <c r="J19" i="3"/>
  <c r="K20" i="2"/>
  <c r="K19" i="2"/>
  <c r="K18" i="2"/>
  <c r="K17" i="2"/>
  <c r="K16" i="2"/>
  <c r="K15" i="2"/>
  <c r="K13" i="2"/>
  <c r="K14" i="2"/>
  <c r="K12" i="2"/>
  <c r="K10" i="2"/>
  <c r="K11" i="2"/>
  <c r="K9" i="2"/>
  <c r="K7" i="2"/>
  <c r="K8" i="2"/>
  <c r="K6" i="2"/>
  <c r="K5" i="2"/>
  <c r="K4" i="2"/>
  <c r="J20" i="2"/>
  <c r="J5" i="2"/>
  <c r="J6" i="2"/>
  <c r="J7" i="2"/>
  <c r="J8" i="2"/>
  <c r="J9" i="2"/>
  <c r="J10" i="2"/>
  <c r="J11" i="2"/>
  <c r="J12" i="2"/>
  <c r="J13" i="2"/>
  <c r="J14" i="2"/>
  <c r="J15" i="2"/>
  <c r="J16" i="2"/>
  <c r="J17" i="2"/>
  <c r="J18" i="2"/>
  <c r="J19" i="2"/>
  <c r="J4" i="2"/>
  <c r="J4" i="1"/>
  <c r="J5" i="1"/>
  <c r="J6" i="1"/>
  <c r="J7" i="1"/>
  <c r="J8" i="1"/>
  <c r="J9" i="1"/>
  <c r="J10" i="1"/>
  <c r="J11" i="1"/>
  <c r="J12" i="1"/>
  <c r="J13" i="1"/>
  <c r="M13" i="1"/>
</calcChain>
</file>

<file path=xl/sharedStrings.xml><?xml version="1.0" encoding="utf-8"?>
<sst xmlns="http://schemas.openxmlformats.org/spreadsheetml/2006/main" count="344" uniqueCount="95">
  <si>
    <t>Invoice Number</t>
  </si>
  <si>
    <t>Date</t>
  </si>
  <si>
    <t>Subscription</t>
  </si>
  <si>
    <t>Description</t>
  </si>
  <si>
    <t>Site Name</t>
  </si>
  <si>
    <t>Payment Method</t>
  </si>
  <si>
    <t>Amount</t>
  </si>
  <si>
    <t>Status</t>
  </si>
  <si>
    <t>Feb 24 2025</t>
  </si>
  <si>
    <t>Plan Premium</t>
  </si>
  <si>
    <t>Core</t>
  </si>
  <si>
    <t>Gecko Motors</t>
  </si>
  <si>
    <t>VISA **** 7569</t>
  </si>
  <si>
    <t>US$29,75</t>
  </si>
  <si>
    <t>PAID</t>
  </si>
  <si>
    <t>Jan 25 2025</t>
  </si>
  <si>
    <t>Dec 24 2024</t>
  </si>
  <si>
    <t>Nov 22 2024</t>
  </si>
  <si>
    <t>VIP</t>
  </si>
  <si>
    <t>e-auto</t>
  </si>
  <si>
    <t>US$349,86</t>
  </si>
  <si>
    <t>Sep 02 2024</t>
  </si>
  <si>
    <t>ShutterStockImage</t>
  </si>
  <si>
    <t>STUB</t>
  </si>
  <si>
    <t>US$3,55</t>
  </si>
  <si>
    <t>Aug 23 2024</t>
  </si>
  <si>
    <t>Apr 01 2024</t>
  </si>
  <si>
    <t>Nov 22 2023</t>
  </si>
  <si>
    <t>SUMA</t>
  </si>
  <si>
    <t>Monto Pesos</t>
  </si>
  <si>
    <t>Monto USD</t>
  </si>
  <si>
    <t>Dec 01 2025</t>
  </si>
  <si>
    <t>Email marketing</t>
  </si>
  <si>
    <t>Esencial</t>
  </si>
  <si>
    <t>MASTERCARD **** 6551</t>
  </si>
  <si>
    <t>US$14,28</t>
  </si>
  <si>
    <t>Business</t>
  </si>
  <si>
    <t>US$414,12</t>
  </si>
  <si>
    <t>Nov 29 2025</t>
  </si>
  <si>
    <t>MASTERCARD **** 0377</t>
  </si>
  <si>
    <t>Nov 13 2025</t>
  </si>
  <si>
    <t>Basic</t>
  </si>
  <si>
    <t>My Site</t>
  </si>
  <si>
    <t>US$19,04</t>
  </si>
  <si>
    <t>Nov 11 2025</t>
  </si>
  <si>
    <t>Oct 25 2025</t>
  </si>
  <si>
    <t>Oct 22 2025</t>
  </si>
  <si>
    <t>Wix Logo Maker</t>
  </si>
  <si>
    <t>Basic Logo</t>
  </si>
  <si>
    <t>Imotion</t>
  </si>
  <si>
    <t>US$23,80</t>
  </si>
  <si>
    <t>US$142,80</t>
  </si>
  <si>
    <t>Sep 28 2025</t>
  </si>
  <si>
    <t>Sep 27 2025</t>
  </si>
  <si>
    <t>Sep 15 2025</t>
  </si>
  <si>
    <t>Jul 24 2025</t>
  </si>
  <si>
    <t>Jun 25 2025</t>
  </si>
  <si>
    <t>May 24 2025</t>
  </si>
  <si>
    <t>Apr 24 2025</t>
  </si>
  <si>
    <t>Mar 24 2025</t>
  </si>
  <si>
    <t>Dólar promedio 930 pesos</t>
  </si>
  <si>
    <t>Dólar promedio 930</t>
  </si>
  <si>
    <t>Dólar promedio según SII</t>
  </si>
  <si>
    <t>Monto Pesos según dólar mes</t>
  </si>
  <si>
    <t>May 13 2026</t>
  </si>
  <si>
    <t>mu-EVT</t>
  </si>
  <si>
    <t>Apr 29 2026</t>
  </si>
  <si>
    <t>Apr 25 2026</t>
  </si>
  <si>
    <t>Apr 13 2026</t>
  </si>
  <si>
    <t>Mar 28 2026</t>
  </si>
  <si>
    <t>Mar 27 2026</t>
  </si>
  <si>
    <t>ZERO
  ILE</t>
  </si>
  <si>
    <t>Mar 25 2026</t>
  </si>
  <si>
    <t>Mar 13 2026</t>
  </si>
  <si>
    <t>Feb 28 2026</t>
  </si>
  <si>
    <t>Feb 25 2026</t>
  </si>
  <si>
    <t>Feb 13 2026</t>
  </si>
  <si>
    <t>Jan 28 2026</t>
  </si>
  <si>
    <t>Jan 24 2026</t>
  </si>
  <si>
    <t>Jan 13 2026</t>
  </si>
  <si>
    <t>Dec 28 2025</t>
  </si>
  <si>
    <t>Dec 24 2025</t>
  </si>
  <si>
    <t>Dec 13 2025</t>
  </si>
  <si>
    <t>MGOHAZIO-0003</t>
  </si>
  <si>
    <t>US$95,35</t>
  </si>
  <si>
    <t>MGOHAZIO-0002</t>
  </si>
  <si>
    <t>May 16 2026</t>
  </si>
  <si>
    <t>May 16 2027</t>
  </si>
  <si>
    <t>Claude</t>
  </si>
  <si>
    <t>PRO</t>
  </si>
  <si>
    <t>All</t>
  </si>
  <si>
    <t>Tipo de Cambio</t>
  </si>
  <si>
    <t>TOTAL USD$</t>
  </si>
  <si>
    <t>Total Pesos</t>
  </si>
  <si>
    <t>24 de Mayo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</si>
</sst>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2" formatCode="_ &quot;$&quot;* #,##0_ ;_ &quot;$&quot;* \-#,##0_ ;_ &quot;$&quot;* &quot;-&quot;_ ;_ @_ "/>
    <numFmt numFmtId="164" formatCode="_ [$$-340A]* #,##0_ ;_ [$$-340A]* \-#,##0_ ;_ [$$-340A]* &quot;-&quot;??_ ;_ @_ "/>
  </numFmts>
  <fonts count="9" x14ac:knownFonts="1">
    <font>
      <sz val="12"/>
      <color theme="1"/>
      <name val="Aptos Narrow"/>
      <family val="2"/>
      <scheme val="minor"/>
    </font>
    <font>
      <sz val="10"/>
      <color rgb="FF000000"/>
      <name val="Helvetica Neue"/>
      <family val="2"/>
    </font>
    <font>
      <b/>
      <sz val="10"/>
      <color rgb="FF000000"/>
      <name val="Helvetica Neue"/>
      <family val="2"/>
    </font>
    <font>
      <sz val="12"/>
      <color theme="1"/>
      <name val="Helvetica"/>
      <family val="2"/>
    </font>
    <font>
      <sz val="12"/>
      <color theme="1"/>
      <name val="Aptos Narrow"/>
      <family val="2"/>
      <scheme val="minor"/>
    </font>
    <font>
      <b/>
      <sz val="11"/>
      <color rgb="FF706F6F"/>
      <name val="Helvetica Neue"/>
      <family val="2"/>
    </font>
    <font>
      <b/>
      <sz val="12"/>
      <color theme="1"/>
      <name val="Aptos Narrow"/>
      <scheme val="minor"/>
    </font>
    <font>
      <sz val="9"/>
      <color rgb="FF000000"/>
      <name val="Helvetica"/>
      <family val="2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2" fontId="4" fillId="0" borderId="0" applyFont="0" applyFill="0" applyBorder="0" applyAlignment="0" applyProtection="0"/>
  </cellStyleXfs>
  <cellXfs count="12">
    <xf numFmtId="0" fontId="0" fillId="0" borderId="0" xfId="0"/>
    <xf numFmtId="0" fontId="2" fillId="0" borderId="0" xfId="0" applyFont="1"/>
    <xf numFmtId="0" fontId="1" fillId="0" borderId="0" xfId="0" applyFont="1"/>
    <xf numFmtId="0" fontId="3" fillId="0" borderId="0" xfId="0" applyFont="1"/>
    <xf numFmtId="164" fontId="0" fillId="0" borderId="0" xfId="0" applyNumberFormat="1"/>
    <xf numFmtId="4" fontId="5" fillId="0" borderId="0" xfId="0" applyNumberFormat="1" applyFont="1"/>
    <xf numFmtId="0" fontId="5" fillId="0" borderId="0" xfId="0" applyFont="1"/>
    <xf numFmtId="17" fontId="0" fillId="0" borderId="0" xfId="0" applyNumberFormat="1"/>
    <xf numFmtId="42" fontId="0" fillId="0" borderId="0" xfId="1" applyFont="1"/>
    <xf numFmtId="42" fontId="6" fillId="0" borderId="0" xfId="0" applyNumberFormat="1" applyFont="1"/>
    <xf numFmtId="0" fontId="0" fillId="0" borderId="0" xfId="0" applyAlignment="1">
      <alignment wrapText="1"/>
    </xf>
    <xf numFmtId="0" fontId="7" fillId="0" borderId="0" xfId="0" applyFont="1"/>
  </cellXfs>
  <cellStyles count="2">
    <cellStyle name="Moneda [0]" xfId="1" builtinId="7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38100</xdr:colOff>
      <xdr:row>31</xdr:row>
      <xdr:rowOff>50800</xdr:rowOff>
    </xdr:from>
    <xdr:to>
      <xdr:col>8</xdr:col>
      <xdr:colOff>88900</xdr:colOff>
      <xdr:row>55</xdr:row>
      <xdr:rowOff>60211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8D7D9B1D-4AC9-58ED-80ED-DD123B0AD1B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63600" y="6350000"/>
          <a:ext cx="7772400" cy="4886211"/>
        </a:xfrm>
        <a:prstGeom prst="rect">
          <a:avLst/>
        </a:prstGeom>
      </xdr:spPr>
    </xdr:pic>
    <xdr:clientData/>
  </xdr:twoCellAnchor>
  <xdr:twoCellAnchor editAs="oneCell">
    <xdr:from>
      <xdr:col>2</xdr:col>
      <xdr:colOff>823100</xdr:colOff>
      <xdr:row>55</xdr:row>
      <xdr:rowOff>52432</xdr:rowOff>
    </xdr:from>
    <xdr:to>
      <xdr:col>8</xdr:col>
      <xdr:colOff>177800</xdr:colOff>
      <xdr:row>76</xdr:row>
      <xdr:rowOff>79914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338816CD-8583-73CC-5634-C19AE4C2D42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4100" y="11228432"/>
          <a:ext cx="6250800" cy="429468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8462A1-377D-0240-9824-1445EBAC6671}">
  <dimension ref="B3:M14"/>
  <sheetViews>
    <sheetView workbookViewId="0">
      <selection activeCell="L13" sqref="L13:M13"/>
    </sheetView>
  </sheetViews>
  <sheetFormatPr baseColWidth="10" defaultRowHeight="16" x14ac:dyDescent="0.2"/>
  <sheetData>
    <row r="3" spans="2:13" x14ac:dyDescent="0.2"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30</v>
      </c>
    </row>
    <row r="4" spans="2:13" x14ac:dyDescent="0.2">
      <c r="B4" s="1">
        <v>1164147449</v>
      </c>
      <c r="C4" s="2" t="s">
        <v>8</v>
      </c>
      <c r="D4" s="2" t="s">
        <v>9</v>
      </c>
      <c r="E4" s="2" t="s">
        <v>10</v>
      </c>
      <c r="F4" s="2" t="s">
        <v>11</v>
      </c>
      <c r="G4" s="2" t="s">
        <v>12</v>
      </c>
      <c r="H4" s="2" t="s">
        <v>13</v>
      </c>
      <c r="I4" s="2" t="s">
        <v>14</v>
      </c>
      <c r="J4">
        <f>_xlfn.NUMBERVALUE((MID(H4,4,10)))</f>
        <v>29.75</v>
      </c>
    </row>
    <row r="5" spans="2:13" x14ac:dyDescent="0.2">
      <c r="B5" s="1">
        <v>1158676627</v>
      </c>
      <c r="C5" s="2" t="s">
        <v>15</v>
      </c>
      <c r="D5" s="2" t="s">
        <v>9</v>
      </c>
      <c r="E5" s="2" t="s">
        <v>10</v>
      </c>
      <c r="F5" s="2" t="s">
        <v>11</v>
      </c>
      <c r="G5" s="2" t="s">
        <v>12</v>
      </c>
      <c r="H5" s="2" t="s">
        <v>13</v>
      </c>
      <c r="I5" s="2" t="s">
        <v>14</v>
      </c>
      <c r="J5">
        <f t="shared" ref="J5:J12" si="0">_xlfn.NUMBERVALUE((MID(H5,4,10)))</f>
        <v>29.75</v>
      </c>
    </row>
    <row r="6" spans="2:13" x14ac:dyDescent="0.2">
      <c r="B6" s="1">
        <v>1153284997</v>
      </c>
      <c r="C6" s="2" t="s">
        <v>16</v>
      </c>
      <c r="D6" s="2" t="s">
        <v>9</v>
      </c>
      <c r="E6" s="2" t="s">
        <v>10</v>
      </c>
      <c r="F6" s="2" t="s">
        <v>11</v>
      </c>
      <c r="G6" s="2" t="s">
        <v>12</v>
      </c>
      <c r="H6" s="2" t="s">
        <v>13</v>
      </c>
      <c r="I6" s="2" t="s">
        <v>14</v>
      </c>
      <c r="J6">
        <f t="shared" si="0"/>
        <v>29.75</v>
      </c>
    </row>
    <row r="7" spans="2:13" x14ac:dyDescent="0.2">
      <c r="B7" s="1">
        <v>1147930085</v>
      </c>
      <c r="C7" s="2" t="s">
        <v>17</v>
      </c>
      <c r="D7" s="2" t="s">
        <v>9</v>
      </c>
      <c r="E7" s="2" t="s">
        <v>18</v>
      </c>
      <c r="F7" s="2" t="s">
        <v>19</v>
      </c>
      <c r="G7" s="2" t="s">
        <v>12</v>
      </c>
      <c r="H7" s="2" t="s">
        <v>20</v>
      </c>
      <c r="I7" s="2" t="s">
        <v>14</v>
      </c>
      <c r="J7">
        <f t="shared" si="0"/>
        <v>349.86</v>
      </c>
    </row>
    <row r="8" spans="2:13" x14ac:dyDescent="0.2">
      <c r="B8" s="1">
        <v>1134515841</v>
      </c>
      <c r="C8" s="2" t="s">
        <v>21</v>
      </c>
      <c r="D8" s="2" t="s">
        <v>22</v>
      </c>
      <c r="E8" s="2" t="s">
        <v>23</v>
      </c>
      <c r="F8" s="3"/>
      <c r="G8" s="2" t="s">
        <v>12</v>
      </c>
      <c r="H8" s="2" t="s">
        <v>24</v>
      </c>
      <c r="I8" s="2" t="s">
        <v>14</v>
      </c>
      <c r="J8">
        <f t="shared" si="0"/>
        <v>3.55</v>
      </c>
    </row>
    <row r="9" spans="2:13" x14ac:dyDescent="0.2">
      <c r="B9" s="1">
        <v>1134515739</v>
      </c>
      <c r="C9" s="2" t="s">
        <v>21</v>
      </c>
      <c r="D9" s="2" t="s">
        <v>22</v>
      </c>
      <c r="E9" s="2" t="s">
        <v>23</v>
      </c>
      <c r="F9" s="3"/>
      <c r="G9" s="2" t="s">
        <v>12</v>
      </c>
      <c r="H9" s="2" t="s">
        <v>24</v>
      </c>
      <c r="I9" s="2" t="s">
        <v>14</v>
      </c>
      <c r="J9">
        <f t="shared" si="0"/>
        <v>3.55</v>
      </c>
    </row>
    <row r="10" spans="2:13" x14ac:dyDescent="0.2">
      <c r="B10" s="1">
        <v>1132874899</v>
      </c>
      <c r="C10" s="2" t="s">
        <v>25</v>
      </c>
      <c r="D10" s="2" t="s">
        <v>22</v>
      </c>
      <c r="E10" s="2" t="s">
        <v>23</v>
      </c>
      <c r="F10" s="3"/>
      <c r="G10" s="2" t="s">
        <v>12</v>
      </c>
      <c r="H10" s="2" t="s">
        <v>24</v>
      </c>
      <c r="I10" s="2" t="s">
        <v>14</v>
      </c>
      <c r="J10">
        <f t="shared" si="0"/>
        <v>3.55</v>
      </c>
    </row>
    <row r="11" spans="2:13" x14ac:dyDescent="0.2">
      <c r="B11" s="1">
        <v>1108929649</v>
      </c>
      <c r="C11" s="2" t="s">
        <v>26</v>
      </c>
      <c r="D11" s="2" t="s">
        <v>22</v>
      </c>
      <c r="E11" s="2" t="s">
        <v>23</v>
      </c>
      <c r="F11" s="3"/>
      <c r="G11" s="2" t="s">
        <v>12</v>
      </c>
      <c r="H11" s="2" t="s">
        <v>24</v>
      </c>
      <c r="I11" s="2" t="s">
        <v>14</v>
      </c>
      <c r="J11">
        <f t="shared" si="0"/>
        <v>3.55</v>
      </c>
    </row>
    <row r="12" spans="2:13" x14ac:dyDescent="0.2">
      <c r="B12" s="1">
        <v>1086601591</v>
      </c>
      <c r="C12" s="2" t="s">
        <v>27</v>
      </c>
      <c r="D12" s="2" t="s">
        <v>9</v>
      </c>
      <c r="E12" s="2" t="s">
        <v>18</v>
      </c>
      <c r="F12" s="2" t="s">
        <v>19</v>
      </c>
      <c r="G12" s="2" t="s">
        <v>12</v>
      </c>
      <c r="H12" s="2" t="s">
        <v>20</v>
      </c>
      <c r="I12" s="2" t="s">
        <v>14</v>
      </c>
      <c r="J12">
        <f t="shared" si="0"/>
        <v>349.86</v>
      </c>
    </row>
    <row r="13" spans="2:13" x14ac:dyDescent="0.2">
      <c r="I13" s="2" t="s">
        <v>28</v>
      </c>
      <c r="J13">
        <f>SUM(J4:J12)</f>
        <v>803.17000000000007</v>
      </c>
      <c r="L13" t="s">
        <v>29</v>
      </c>
      <c r="M13">
        <f>J13*900</f>
        <v>722853.00000000012</v>
      </c>
    </row>
    <row r="14" spans="2:13" x14ac:dyDescent="0.2">
      <c r="I14" s="2" t="s">
        <v>60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FD9980-1237-D24F-9BC4-40C1A162D2EB}">
  <dimension ref="B3:M29"/>
  <sheetViews>
    <sheetView workbookViewId="0">
      <selection activeCell="J3" sqref="J3:K4"/>
    </sheetView>
  </sheetViews>
  <sheetFormatPr baseColWidth="10" defaultRowHeight="16" x14ac:dyDescent="0.2"/>
  <cols>
    <col min="4" max="4" width="27" customWidth="1"/>
    <col min="7" max="7" width="20.1640625" bestFit="1" customWidth="1"/>
    <col min="11" max="11" width="25.6640625" bestFit="1" customWidth="1"/>
    <col min="13" max="13" width="12.83203125" bestFit="1" customWidth="1"/>
  </cols>
  <sheetData>
    <row r="3" spans="2:11" x14ac:dyDescent="0.2"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30</v>
      </c>
      <c r="K3" s="1" t="s">
        <v>63</v>
      </c>
    </row>
    <row r="4" spans="2:11" x14ac:dyDescent="0.2">
      <c r="B4" s="1">
        <v>1211173817</v>
      </c>
      <c r="C4" s="2" t="s">
        <v>31</v>
      </c>
      <c r="D4" s="2" t="s">
        <v>32</v>
      </c>
      <c r="E4" s="2" t="s">
        <v>33</v>
      </c>
      <c r="F4" s="2" t="s">
        <v>19</v>
      </c>
      <c r="G4" s="2" t="s">
        <v>34</v>
      </c>
      <c r="H4" s="2" t="s">
        <v>35</v>
      </c>
      <c r="I4" s="2" t="s">
        <v>14</v>
      </c>
      <c r="J4">
        <f>_xlfn.NUMBERVALUE((MID(H4,4,10)))</f>
        <v>14.28</v>
      </c>
      <c r="K4" s="8">
        <f>J4*M29</f>
        <v>13254.1248</v>
      </c>
    </row>
    <row r="5" spans="2:11" x14ac:dyDescent="0.2">
      <c r="B5" s="1">
        <v>1210144455</v>
      </c>
      <c r="C5" s="2" t="s">
        <v>31</v>
      </c>
      <c r="D5" s="2" t="s">
        <v>9</v>
      </c>
      <c r="E5" s="2" t="s">
        <v>36</v>
      </c>
      <c r="F5" s="2" t="s">
        <v>19</v>
      </c>
      <c r="G5" s="2" t="s">
        <v>34</v>
      </c>
      <c r="H5" s="2" t="s">
        <v>37</v>
      </c>
      <c r="I5" s="2" t="s">
        <v>14</v>
      </c>
      <c r="J5">
        <f t="shared" ref="J5:J19" si="0">_xlfn.NUMBERVALUE((MID(H5,4,10)))</f>
        <v>414.12</v>
      </c>
      <c r="K5" s="8">
        <f>J5*M29</f>
        <v>384369.61920000002</v>
      </c>
    </row>
    <row r="6" spans="2:11" x14ac:dyDescent="0.2">
      <c r="B6" s="1">
        <v>1210490805</v>
      </c>
      <c r="C6" s="2" t="s">
        <v>38</v>
      </c>
      <c r="D6" s="2" t="s">
        <v>9</v>
      </c>
      <c r="E6" s="2" t="s">
        <v>10</v>
      </c>
      <c r="F6" s="2" t="s">
        <v>11</v>
      </c>
      <c r="G6" s="2" t="s">
        <v>39</v>
      </c>
      <c r="H6" s="2" t="s">
        <v>13</v>
      </c>
      <c r="I6" s="2" t="s">
        <v>14</v>
      </c>
      <c r="J6">
        <f t="shared" si="0"/>
        <v>29.75</v>
      </c>
      <c r="K6" s="8">
        <f>J6*$L$29</f>
        <v>27837.075000000001</v>
      </c>
    </row>
    <row r="7" spans="2:11" x14ac:dyDescent="0.2">
      <c r="B7" s="1">
        <v>1208732309</v>
      </c>
      <c r="C7" s="2" t="s">
        <v>40</v>
      </c>
      <c r="D7" s="2" t="s">
        <v>9</v>
      </c>
      <c r="E7" s="2" t="s">
        <v>41</v>
      </c>
      <c r="F7" s="2" t="s">
        <v>42</v>
      </c>
      <c r="G7" s="2" t="s">
        <v>34</v>
      </c>
      <c r="H7" s="2" t="s">
        <v>43</v>
      </c>
      <c r="I7" s="2" t="s">
        <v>14</v>
      </c>
      <c r="J7">
        <f t="shared" si="0"/>
        <v>19.04</v>
      </c>
      <c r="K7" s="8">
        <f t="shared" ref="K7:K8" si="1">J7*$L$29</f>
        <v>17815.727999999999</v>
      </c>
    </row>
    <row r="8" spans="2:11" x14ac:dyDescent="0.2">
      <c r="B8" s="1">
        <v>1206067797</v>
      </c>
      <c r="C8" s="2" t="s">
        <v>44</v>
      </c>
      <c r="D8" s="2" t="s">
        <v>32</v>
      </c>
      <c r="E8" s="2" t="s">
        <v>33</v>
      </c>
      <c r="F8" s="2" t="s">
        <v>19</v>
      </c>
      <c r="G8" s="2" t="s">
        <v>39</v>
      </c>
      <c r="H8" s="2" t="s">
        <v>35</v>
      </c>
      <c r="I8" s="2" t="s">
        <v>14</v>
      </c>
      <c r="J8">
        <f t="shared" si="0"/>
        <v>14.28</v>
      </c>
      <c r="K8" s="8">
        <f t="shared" si="1"/>
        <v>13361.796</v>
      </c>
    </row>
    <row r="9" spans="2:11" x14ac:dyDescent="0.2">
      <c r="B9" s="1">
        <v>1205391725</v>
      </c>
      <c r="C9" s="2" t="s">
        <v>45</v>
      </c>
      <c r="D9" s="2" t="s">
        <v>9</v>
      </c>
      <c r="E9" s="2" t="s">
        <v>10</v>
      </c>
      <c r="F9" s="2" t="s">
        <v>11</v>
      </c>
      <c r="G9" s="2" t="s">
        <v>39</v>
      </c>
      <c r="H9" s="2" t="s">
        <v>13</v>
      </c>
      <c r="I9" s="2" t="s">
        <v>14</v>
      </c>
      <c r="J9">
        <f t="shared" si="0"/>
        <v>29.75</v>
      </c>
      <c r="K9" s="8">
        <f>J9*$K$29</f>
        <v>28380.607500000002</v>
      </c>
    </row>
    <row r="10" spans="2:11" x14ac:dyDescent="0.2">
      <c r="B10" s="1">
        <v>1205110673</v>
      </c>
      <c r="C10" s="2" t="s">
        <v>46</v>
      </c>
      <c r="D10" s="2" t="s">
        <v>47</v>
      </c>
      <c r="E10" s="2" t="s">
        <v>48</v>
      </c>
      <c r="F10" s="2" t="s">
        <v>49</v>
      </c>
      <c r="G10" s="2" t="s">
        <v>39</v>
      </c>
      <c r="H10" s="2" t="s">
        <v>50</v>
      </c>
      <c r="I10" s="2" t="s">
        <v>14</v>
      </c>
      <c r="J10">
        <f t="shared" si="0"/>
        <v>23.8</v>
      </c>
      <c r="K10" s="8">
        <f t="shared" ref="K10:K11" si="2">J10*$K$29</f>
        <v>22704.486000000001</v>
      </c>
    </row>
    <row r="11" spans="2:11" x14ac:dyDescent="0.2">
      <c r="B11" s="1">
        <v>1205108563</v>
      </c>
      <c r="C11" s="2" t="s">
        <v>46</v>
      </c>
      <c r="D11" s="2" t="s">
        <v>9</v>
      </c>
      <c r="E11" s="2" t="s">
        <v>10</v>
      </c>
      <c r="F11" s="2" t="s">
        <v>49</v>
      </c>
      <c r="G11" s="2" t="s">
        <v>39</v>
      </c>
      <c r="H11" s="2" t="s">
        <v>51</v>
      </c>
      <c r="I11" s="2" t="s">
        <v>14</v>
      </c>
      <c r="J11">
        <f t="shared" si="0"/>
        <v>142.80000000000001</v>
      </c>
      <c r="K11" s="8">
        <f t="shared" si="2"/>
        <v>136226.91600000003</v>
      </c>
    </row>
    <row r="12" spans="2:11" x14ac:dyDescent="0.2">
      <c r="B12" s="1">
        <v>1201213385</v>
      </c>
      <c r="C12" s="2" t="s">
        <v>52</v>
      </c>
      <c r="D12" s="2" t="s">
        <v>32</v>
      </c>
      <c r="E12" s="2" t="s">
        <v>33</v>
      </c>
      <c r="F12" s="2" t="s">
        <v>19</v>
      </c>
      <c r="G12" s="2" t="s">
        <v>39</v>
      </c>
      <c r="H12" s="2" t="s">
        <v>35</v>
      </c>
      <c r="I12" s="2" t="s">
        <v>14</v>
      </c>
      <c r="J12">
        <f t="shared" si="0"/>
        <v>14.28</v>
      </c>
      <c r="K12" s="8">
        <f>J12*$J$29</f>
        <v>13714.0836</v>
      </c>
    </row>
    <row r="13" spans="2:11" x14ac:dyDescent="0.2">
      <c r="B13" s="1">
        <v>1200328837</v>
      </c>
      <c r="C13" s="2" t="s">
        <v>53</v>
      </c>
      <c r="D13" s="2" t="s">
        <v>9</v>
      </c>
      <c r="E13" s="2" t="s">
        <v>10</v>
      </c>
      <c r="F13" s="2" t="s">
        <v>11</v>
      </c>
      <c r="G13" s="2" t="s">
        <v>39</v>
      </c>
      <c r="H13" s="2" t="s">
        <v>13</v>
      </c>
      <c r="I13" s="2" t="s">
        <v>14</v>
      </c>
      <c r="J13">
        <f t="shared" si="0"/>
        <v>29.75</v>
      </c>
      <c r="K13" s="8">
        <f t="shared" ref="K13:K14" si="3">J13*$J$29</f>
        <v>28571.0075</v>
      </c>
    </row>
    <row r="14" spans="2:11" x14ac:dyDescent="0.2">
      <c r="B14" s="1">
        <v>1195141973</v>
      </c>
      <c r="C14" s="2" t="s">
        <v>54</v>
      </c>
      <c r="D14" s="2" t="s">
        <v>9</v>
      </c>
      <c r="E14" s="2" t="s">
        <v>10</v>
      </c>
      <c r="F14" s="2" t="s">
        <v>11</v>
      </c>
      <c r="G14" s="2" t="s">
        <v>39</v>
      </c>
      <c r="H14" s="2" t="s">
        <v>13</v>
      </c>
      <c r="I14" s="2" t="s">
        <v>14</v>
      </c>
      <c r="J14">
        <f t="shared" si="0"/>
        <v>29.75</v>
      </c>
      <c r="K14" s="8">
        <f t="shared" si="3"/>
        <v>28571.0075</v>
      </c>
    </row>
    <row r="15" spans="2:11" x14ac:dyDescent="0.2">
      <c r="B15" s="1">
        <v>1190022011</v>
      </c>
      <c r="C15" s="2" t="s">
        <v>55</v>
      </c>
      <c r="D15" s="2" t="s">
        <v>9</v>
      </c>
      <c r="E15" s="2" t="s">
        <v>10</v>
      </c>
      <c r="F15" s="2" t="s">
        <v>11</v>
      </c>
      <c r="G15" s="2" t="s">
        <v>12</v>
      </c>
      <c r="H15" s="2" t="s">
        <v>13</v>
      </c>
      <c r="I15" s="2" t="s">
        <v>14</v>
      </c>
      <c r="J15">
        <f t="shared" si="0"/>
        <v>29.75</v>
      </c>
      <c r="K15" s="8">
        <f>J15*H29</f>
        <v>28308.612499999999</v>
      </c>
    </row>
    <row r="16" spans="2:11" x14ac:dyDescent="0.2">
      <c r="B16" s="1">
        <v>1184944025</v>
      </c>
      <c r="C16" s="2" t="s">
        <v>56</v>
      </c>
      <c r="D16" s="2" t="s">
        <v>9</v>
      </c>
      <c r="E16" s="2" t="s">
        <v>10</v>
      </c>
      <c r="F16" s="2" t="s">
        <v>11</v>
      </c>
      <c r="G16" s="2" t="s">
        <v>12</v>
      </c>
      <c r="H16" s="2" t="s">
        <v>13</v>
      </c>
      <c r="I16" s="2" t="s">
        <v>14</v>
      </c>
      <c r="J16">
        <f t="shared" si="0"/>
        <v>29.75</v>
      </c>
      <c r="K16" s="8">
        <f>J16*G29</f>
        <v>27906.69</v>
      </c>
    </row>
    <row r="17" spans="2:13" x14ac:dyDescent="0.2">
      <c r="B17" s="1">
        <v>1179811329</v>
      </c>
      <c r="C17" s="2" t="s">
        <v>57</v>
      </c>
      <c r="D17" s="2" t="s">
        <v>9</v>
      </c>
      <c r="E17" s="2" t="s">
        <v>10</v>
      </c>
      <c r="F17" s="2" t="s">
        <v>11</v>
      </c>
      <c r="G17" s="2" t="s">
        <v>12</v>
      </c>
      <c r="H17" s="2" t="s">
        <v>13</v>
      </c>
      <c r="I17" s="2" t="s">
        <v>14</v>
      </c>
      <c r="J17">
        <f t="shared" si="0"/>
        <v>29.75</v>
      </c>
      <c r="K17" s="8">
        <f>J17*F29</f>
        <v>27995.047500000001</v>
      </c>
    </row>
    <row r="18" spans="2:13" x14ac:dyDescent="0.2">
      <c r="B18" s="1">
        <v>1174657999</v>
      </c>
      <c r="C18" s="2" t="s">
        <v>58</v>
      </c>
      <c r="D18" s="2" t="s">
        <v>9</v>
      </c>
      <c r="E18" s="2" t="s">
        <v>10</v>
      </c>
      <c r="F18" s="2" t="s">
        <v>11</v>
      </c>
      <c r="G18" s="2" t="s">
        <v>12</v>
      </c>
      <c r="H18" s="2" t="s">
        <v>13</v>
      </c>
      <c r="I18" s="2" t="s">
        <v>14</v>
      </c>
      <c r="J18">
        <f t="shared" si="0"/>
        <v>29.75</v>
      </c>
      <c r="K18" s="8">
        <f>J18*E29</f>
        <v>28618.31</v>
      </c>
    </row>
    <row r="19" spans="2:13" x14ac:dyDescent="0.2">
      <c r="B19" s="1">
        <v>1169320851</v>
      </c>
      <c r="C19" s="2" t="s">
        <v>59</v>
      </c>
      <c r="D19" s="2" t="s">
        <v>9</v>
      </c>
      <c r="E19" s="2" t="s">
        <v>10</v>
      </c>
      <c r="F19" s="2" t="s">
        <v>11</v>
      </c>
      <c r="G19" s="2" t="s">
        <v>12</v>
      </c>
      <c r="H19" s="2" t="s">
        <v>13</v>
      </c>
      <c r="I19" s="2" t="s">
        <v>14</v>
      </c>
      <c r="J19">
        <f t="shared" si="0"/>
        <v>29.75</v>
      </c>
      <c r="K19" s="8">
        <f>J19*D29</f>
        <v>27743.362499999999</v>
      </c>
    </row>
    <row r="20" spans="2:13" x14ac:dyDescent="0.2">
      <c r="I20" s="2" t="s">
        <v>28</v>
      </c>
      <c r="J20">
        <f>SUM(J4:J19)</f>
        <v>910.34999999999991</v>
      </c>
      <c r="K20" s="9">
        <f>SUM(K4:K19)</f>
        <v>855378.47360000003</v>
      </c>
      <c r="M20" s="4"/>
    </row>
    <row r="21" spans="2:13" x14ac:dyDescent="0.2">
      <c r="I21" s="2" t="s">
        <v>61</v>
      </c>
    </row>
    <row r="27" spans="2:13" x14ac:dyDescent="0.2">
      <c r="B27" t="s">
        <v>62</v>
      </c>
    </row>
    <row r="28" spans="2:13" x14ac:dyDescent="0.2">
      <c r="B28" s="7">
        <v>45658</v>
      </c>
      <c r="C28" s="7">
        <v>45689</v>
      </c>
      <c r="D28" s="7">
        <v>45717</v>
      </c>
      <c r="E28" s="7">
        <v>45748</v>
      </c>
      <c r="F28" s="7">
        <v>45778</v>
      </c>
      <c r="G28" s="7">
        <v>45809</v>
      </c>
      <c r="H28" s="7">
        <v>45839</v>
      </c>
      <c r="I28" s="7">
        <v>45870</v>
      </c>
      <c r="J28" s="7">
        <v>45901</v>
      </c>
      <c r="K28" s="7">
        <v>45931</v>
      </c>
      <c r="L28" s="7">
        <v>45962</v>
      </c>
      <c r="M28" s="7">
        <v>45992</v>
      </c>
    </row>
    <row r="29" spans="2:13" x14ac:dyDescent="0.2">
      <c r="B29" s="5">
        <v>1000.76</v>
      </c>
      <c r="C29" s="6">
        <v>956.62</v>
      </c>
      <c r="D29" s="6">
        <v>932.55</v>
      </c>
      <c r="E29" s="6">
        <v>961.96</v>
      </c>
      <c r="F29" s="6">
        <v>941.01</v>
      </c>
      <c r="G29" s="6">
        <v>938.04</v>
      </c>
      <c r="H29" s="6">
        <v>951.55</v>
      </c>
      <c r="I29" s="6">
        <v>966.3</v>
      </c>
      <c r="J29" s="6">
        <v>960.37</v>
      </c>
      <c r="K29" s="6">
        <v>953.97</v>
      </c>
      <c r="L29" s="6">
        <v>935.7</v>
      </c>
      <c r="M29" s="6">
        <v>928.16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4E9DAB-A52C-D54A-BF95-E68FE5E38446}">
  <dimension ref="B2:K26"/>
  <sheetViews>
    <sheetView tabSelected="1" workbookViewId="0">
      <selection activeCell="K25" sqref="K25"/>
    </sheetView>
  </sheetViews>
  <sheetFormatPr baseColWidth="10" defaultRowHeight="16" x14ac:dyDescent="0.2"/>
  <cols>
    <col min="7" max="7" width="21.5" bestFit="1" customWidth="1"/>
    <col min="9" max="9" width="16.6640625" customWidth="1"/>
  </cols>
  <sheetData>
    <row r="2" spans="2:11" x14ac:dyDescent="0.2">
      <c r="B2" s="1" t="s">
        <v>0</v>
      </c>
      <c r="C2" s="1" t="s">
        <v>1</v>
      </c>
      <c r="D2" s="1" t="s">
        <v>2</v>
      </c>
      <c r="E2" s="1" t="s">
        <v>3</v>
      </c>
      <c r="F2" s="1" t="s">
        <v>4</v>
      </c>
      <c r="G2" s="1" t="s">
        <v>5</v>
      </c>
      <c r="H2" s="1" t="s">
        <v>6</v>
      </c>
      <c r="I2" s="1" t="s">
        <v>7</v>
      </c>
      <c r="J2" s="1" t="s">
        <v>30</v>
      </c>
      <c r="K2" s="1"/>
    </row>
    <row r="3" spans="2:11" x14ac:dyDescent="0.2">
      <c r="B3">
        <v>1240179549</v>
      </c>
      <c r="C3" t="s">
        <v>64</v>
      </c>
      <c r="D3" t="s">
        <v>9</v>
      </c>
      <c r="E3" t="s">
        <v>41</v>
      </c>
      <c r="F3" t="s">
        <v>65</v>
      </c>
      <c r="G3" t="s">
        <v>34</v>
      </c>
      <c r="H3" t="s">
        <v>43</v>
      </c>
      <c r="I3" t="s">
        <v>14</v>
      </c>
      <c r="J3">
        <f t="shared" ref="J3:J21" si="0">_xlfn.NUMBERVALUE((MID(H3,4,10)))</f>
        <v>19.04</v>
      </c>
      <c r="K3" s="8"/>
    </row>
    <row r="4" spans="2:11" x14ac:dyDescent="0.2">
      <c r="B4">
        <v>1237615253</v>
      </c>
      <c r="C4" t="s">
        <v>66</v>
      </c>
      <c r="D4" t="s">
        <v>32</v>
      </c>
      <c r="E4" t="s">
        <v>33</v>
      </c>
      <c r="F4" t="s">
        <v>19</v>
      </c>
      <c r="G4" t="s">
        <v>34</v>
      </c>
      <c r="H4" t="s">
        <v>35</v>
      </c>
      <c r="I4" t="s">
        <v>14</v>
      </c>
      <c r="J4">
        <f t="shared" si="0"/>
        <v>14.28</v>
      </c>
      <c r="K4" s="8"/>
    </row>
    <row r="5" spans="2:11" x14ac:dyDescent="0.2">
      <c r="B5">
        <v>1236896983</v>
      </c>
      <c r="C5" t="s">
        <v>67</v>
      </c>
      <c r="D5" t="s">
        <v>9</v>
      </c>
      <c r="E5" t="s">
        <v>10</v>
      </c>
      <c r="F5" t="s">
        <v>11</v>
      </c>
      <c r="G5" t="s">
        <v>34</v>
      </c>
      <c r="H5" t="s">
        <v>13</v>
      </c>
      <c r="I5" t="s">
        <v>14</v>
      </c>
      <c r="J5">
        <f t="shared" si="0"/>
        <v>29.75</v>
      </c>
      <c r="K5" s="8"/>
    </row>
    <row r="6" spans="2:11" x14ac:dyDescent="0.2">
      <c r="B6">
        <v>1234937913</v>
      </c>
      <c r="C6" t="s">
        <v>68</v>
      </c>
      <c r="D6" t="s">
        <v>9</v>
      </c>
      <c r="E6" t="s">
        <v>41</v>
      </c>
      <c r="F6" t="s">
        <v>65</v>
      </c>
      <c r="G6" t="s">
        <v>34</v>
      </c>
      <c r="H6" t="s">
        <v>43</v>
      </c>
      <c r="I6" t="s">
        <v>14</v>
      </c>
      <c r="J6">
        <f t="shared" si="0"/>
        <v>19.04</v>
      </c>
      <c r="K6" s="8"/>
    </row>
    <row r="7" spans="2:11" x14ac:dyDescent="0.2">
      <c r="B7">
        <v>1232326609</v>
      </c>
      <c r="C7" t="s">
        <v>69</v>
      </c>
      <c r="D7" t="s">
        <v>32</v>
      </c>
      <c r="E7" t="s">
        <v>33</v>
      </c>
      <c r="F7" t="s">
        <v>19</v>
      </c>
      <c r="G7" t="s">
        <v>34</v>
      </c>
      <c r="H7" t="s">
        <v>35</v>
      </c>
      <c r="I7" t="s">
        <v>14</v>
      </c>
      <c r="J7">
        <f t="shared" si="0"/>
        <v>14.28</v>
      </c>
      <c r="K7" s="8"/>
    </row>
    <row r="8" spans="2:11" ht="34" x14ac:dyDescent="0.2">
      <c r="B8">
        <v>1232120249</v>
      </c>
      <c r="C8" t="s">
        <v>70</v>
      </c>
      <c r="D8" t="s">
        <v>47</v>
      </c>
      <c r="E8" t="s">
        <v>48</v>
      </c>
      <c r="F8" s="10" t="s">
        <v>71</v>
      </c>
      <c r="G8" t="s">
        <v>34</v>
      </c>
      <c r="H8" t="s">
        <v>50</v>
      </c>
      <c r="I8" t="s">
        <v>14</v>
      </c>
      <c r="J8">
        <f t="shared" si="0"/>
        <v>23.8</v>
      </c>
      <c r="K8" s="8"/>
    </row>
    <row r="9" spans="2:11" x14ac:dyDescent="0.2">
      <c r="B9">
        <v>1231558325</v>
      </c>
      <c r="C9" t="s">
        <v>72</v>
      </c>
      <c r="D9" t="s">
        <v>9</v>
      </c>
      <c r="E9" t="s">
        <v>10</v>
      </c>
      <c r="F9" t="s">
        <v>11</v>
      </c>
      <c r="G9" t="s">
        <v>34</v>
      </c>
      <c r="H9" t="s">
        <v>13</v>
      </c>
      <c r="I9" t="s">
        <v>14</v>
      </c>
      <c r="J9">
        <f t="shared" si="0"/>
        <v>29.75</v>
      </c>
      <c r="K9" s="8"/>
    </row>
    <row r="10" spans="2:11" x14ac:dyDescent="0.2">
      <c r="B10">
        <v>1229636533</v>
      </c>
      <c r="C10" t="s">
        <v>73</v>
      </c>
      <c r="D10" t="s">
        <v>9</v>
      </c>
      <c r="E10" t="s">
        <v>41</v>
      </c>
      <c r="F10" t="s">
        <v>65</v>
      </c>
      <c r="G10" t="s">
        <v>34</v>
      </c>
      <c r="H10" t="s">
        <v>43</v>
      </c>
      <c r="I10" t="s">
        <v>14</v>
      </c>
      <c r="J10">
        <f t="shared" si="0"/>
        <v>19.04</v>
      </c>
      <c r="K10" s="8"/>
    </row>
    <row r="11" spans="2:11" x14ac:dyDescent="0.2">
      <c r="B11">
        <v>1227223099</v>
      </c>
      <c r="C11" t="s">
        <v>74</v>
      </c>
      <c r="D11" t="s">
        <v>32</v>
      </c>
      <c r="E11" t="s">
        <v>33</v>
      </c>
      <c r="F11" t="s">
        <v>19</v>
      </c>
      <c r="G11" t="s">
        <v>34</v>
      </c>
      <c r="H11" t="s">
        <v>35</v>
      </c>
      <c r="I11" t="s">
        <v>14</v>
      </c>
      <c r="J11">
        <f t="shared" si="0"/>
        <v>14.28</v>
      </c>
      <c r="K11" s="8"/>
    </row>
    <row r="12" spans="2:11" x14ac:dyDescent="0.2">
      <c r="B12">
        <v>1226440545</v>
      </c>
      <c r="C12" t="s">
        <v>75</v>
      </c>
      <c r="D12" t="s">
        <v>9</v>
      </c>
      <c r="E12" t="s">
        <v>10</v>
      </c>
      <c r="F12" t="s">
        <v>11</v>
      </c>
      <c r="G12" t="s">
        <v>34</v>
      </c>
      <c r="H12" t="s">
        <v>13</v>
      </c>
      <c r="I12" t="s">
        <v>14</v>
      </c>
      <c r="J12">
        <f t="shared" si="0"/>
        <v>29.75</v>
      </c>
      <c r="K12" s="8"/>
    </row>
    <row r="13" spans="2:11" x14ac:dyDescent="0.2">
      <c r="B13">
        <v>1224468933</v>
      </c>
      <c r="C13" t="s">
        <v>76</v>
      </c>
      <c r="D13" t="s">
        <v>9</v>
      </c>
      <c r="E13" t="s">
        <v>41</v>
      </c>
      <c r="F13" t="s">
        <v>65</v>
      </c>
      <c r="G13" t="s">
        <v>34</v>
      </c>
      <c r="H13" t="s">
        <v>43</v>
      </c>
      <c r="I13" t="s">
        <v>14</v>
      </c>
      <c r="J13">
        <f t="shared" si="0"/>
        <v>19.04</v>
      </c>
      <c r="K13" s="8"/>
    </row>
    <row r="14" spans="2:11" x14ac:dyDescent="0.2">
      <c r="B14">
        <v>1221702897</v>
      </c>
      <c r="C14" t="s">
        <v>77</v>
      </c>
      <c r="D14" t="s">
        <v>32</v>
      </c>
      <c r="E14" t="s">
        <v>33</v>
      </c>
      <c r="F14" t="s">
        <v>19</v>
      </c>
      <c r="G14" t="s">
        <v>34</v>
      </c>
      <c r="H14" t="s">
        <v>35</v>
      </c>
      <c r="I14" t="s">
        <v>14</v>
      </c>
      <c r="J14">
        <f t="shared" si="0"/>
        <v>14.28</v>
      </c>
      <c r="K14" s="8"/>
    </row>
    <row r="15" spans="2:11" x14ac:dyDescent="0.2">
      <c r="B15">
        <v>1220975771</v>
      </c>
      <c r="C15" t="s">
        <v>78</v>
      </c>
      <c r="D15" t="s">
        <v>9</v>
      </c>
      <c r="E15" t="s">
        <v>10</v>
      </c>
      <c r="F15" t="s">
        <v>11</v>
      </c>
      <c r="G15" t="s">
        <v>34</v>
      </c>
      <c r="H15" t="s">
        <v>13</v>
      </c>
      <c r="I15" t="s">
        <v>14</v>
      </c>
      <c r="J15">
        <f t="shared" si="0"/>
        <v>29.75</v>
      </c>
      <c r="K15" s="8"/>
    </row>
    <row r="16" spans="2:11" x14ac:dyDescent="0.2">
      <c r="B16">
        <v>1218965775</v>
      </c>
      <c r="C16" t="s">
        <v>79</v>
      </c>
      <c r="D16" t="s">
        <v>9</v>
      </c>
      <c r="E16" t="s">
        <v>41</v>
      </c>
      <c r="F16" t="s">
        <v>65</v>
      </c>
      <c r="G16" t="s">
        <v>34</v>
      </c>
      <c r="H16" t="s">
        <v>43</v>
      </c>
      <c r="I16" t="s">
        <v>14</v>
      </c>
      <c r="J16">
        <f t="shared" si="0"/>
        <v>19.04</v>
      </c>
      <c r="K16" s="8"/>
    </row>
    <row r="17" spans="2:11" x14ac:dyDescent="0.2">
      <c r="B17">
        <v>1216265809</v>
      </c>
      <c r="C17" t="s">
        <v>80</v>
      </c>
      <c r="D17" t="s">
        <v>32</v>
      </c>
      <c r="E17" t="s">
        <v>33</v>
      </c>
      <c r="F17" t="s">
        <v>19</v>
      </c>
      <c r="G17" t="s">
        <v>34</v>
      </c>
      <c r="H17" t="s">
        <v>35</v>
      </c>
      <c r="I17" t="s">
        <v>14</v>
      </c>
      <c r="J17">
        <f t="shared" si="0"/>
        <v>14.28</v>
      </c>
      <c r="K17" s="8"/>
    </row>
    <row r="18" spans="2:11" x14ac:dyDescent="0.2">
      <c r="B18">
        <v>1215589701</v>
      </c>
      <c r="C18" t="s">
        <v>81</v>
      </c>
      <c r="D18" t="s">
        <v>9</v>
      </c>
      <c r="E18" t="s">
        <v>10</v>
      </c>
      <c r="F18" t="s">
        <v>11</v>
      </c>
      <c r="G18" t="s">
        <v>34</v>
      </c>
      <c r="H18" t="s">
        <v>13</v>
      </c>
      <c r="I18" t="s">
        <v>14</v>
      </c>
      <c r="J18">
        <f t="shared" si="0"/>
        <v>29.75</v>
      </c>
      <c r="K18" s="8"/>
    </row>
    <row r="19" spans="2:11" x14ac:dyDescent="0.2">
      <c r="B19">
        <v>1213625123</v>
      </c>
      <c r="C19" t="s">
        <v>82</v>
      </c>
      <c r="D19" t="s">
        <v>9</v>
      </c>
      <c r="E19" t="s">
        <v>41</v>
      </c>
      <c r="F19" t="s">
        <v>65</v>
      </c>
      <c r="G19" t="s">
        <v>34</v>
      </c>
      <c r="H19" t="s">
        <v>43</v>
      </c>
      <c r="I19" t="s">
        <v>14</v>
      </c>
      <c r="J19">
        <f t="shared" si="0"/>
        <v>19.04</v>
      </c>
      <c r="K19" s="8"/>
    </row>
    <row r="20" spans="2:11" x14ac:dyDescent="0.2">
      <c r="B20" s="11" t="s">
        <v>83</v>
      </c>
      <c r="C20" t="s">
        <v>86</v>
      </c>
      <c r="D20" t="s">
        <v>88</v>
      </c>
      <c r="E20" t="s">
        <v>89</v>
      </c>
      <c r="F20" t="s">
        <v>90</v>
      </c>
      <c r="G20" t="s">
        <v>34</v>
      </c>
      <c r="H20" t="s">
        <v>84</v>
      </c>
      <c r="I20" t="s">
        <v>14</v>
      </c>
      <c r="J20">
        <f t="shared" si="0"/>
        <v>95.35</v>
      </c>
    </row>
    <row r="21" spans="2:11" x14ac:dyDescent="0.2">
      <c r="B21" s="11" t="s">
        <v>85</v>
      </c>
      <c r="C21" t="s">
        <v>87</v>
      </c>
      <c r="D21" t="s">
        <v>88</v>
      </c>
      <c r="E21" t="s">
        <v>41</v>
      </c>
      <c r="F21" t="s">
        <v>90</v>
      </c>
      <c r="G21" t="s">
        <v>34</v>
      </c>
      <c r="H21" t="s">
        <v>50</v>
      </c>
      <c r="I21" t="s">
        <v>14</v>
      </c>
      <c r="J21">
        <f t="shared" si="0"/>
        <v>23.8</v>
      </c>
    </row>
    <row r="23" spans="2:11" x14ac:dyDescent="0.2">
      <c r="I23" t="s">
        <v>92</v>
      </c>
      <c r="J23">
        <f>SUM(J3:J21)</f>
        <v>477.34</v>
      </c>
    </row>
    <row r="24" spans="2:11" x14ac:dyDescent="0.2">
      <c r="I24" t="s">
        <v>91</v>
      </c>
      <c r="J24">
        <v>895.58</v>
      </c>
      <c r="K24" t="s">
        <v>94</v>
      </c>
    </row>
    <row r="26" spans="2:11" x14ac:dyDescent="0.2">
      <c r="I26" t="s">
        <v>93</v>
      </c>
      <c r="J26" s="8">
        <f>J24*J23</f>
        <v>427496.15720000002</v>
      </c>
    </row>
  </sheetData>
  <phoneticPr fontId="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Rendicion WIX 1</vt:lpstr>
      <vt:lpstr>Rendicion WIX 2</vt:lpstr>
      <vt:lpstr>Rendicion WIX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Alexis Rodriguez / E-AUTO</dc:creator>
  <cp:lastModifiedBy>Christian Stehr</cp:lastModifiedBy>
  <dcterms:created xsi:type="dcterms:W3CDTF">2025-03-08T17:11:55Z</dcterms:created>
  <dcterms:modified xsi:type="dcterms:W3CDTF">2026-05-26T01:16:38Z</dcterms:modified>
</cp:coreProperties>
</file>